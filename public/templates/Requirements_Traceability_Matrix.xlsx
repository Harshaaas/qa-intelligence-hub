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RTM" sheetId="2" state="visible" r:id="rId4"/>
    <sheet name="Coverage Summary" sheetId="3" state="visible" r:id="rId5"/>
  </sheets>
  <definedNames>
    <definedName function="false" hidden="true" localSheetId="1" name="_xlnm._FilterDatabase" vbProcedure="false">RTM!$A$1:$J$201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<sst xmlns="http://schemas.openxmlformats.org/spreadsheetml/2006/main" count="42" uniqueCount="42">
  <si>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Requirements Traceability Matrix</t>
  </si>
  <si>
    <t xml:space="preserve">Project</t>
  </si>
  <si>
    <t xml:space="preserve">[Project name]</t>
  </si>
  <si>
    <t xml:space="preserve">Template version</t>
  </si>
  <si>
    <t xml:space="preserve">[v1.0]</t>
  </si>
  <si>
    <t xml:space="preserve">Prepared by</t>
  </si>
  <si>
    <t xml:space="preserve">[Name]</t>
  </si>
  <si>
    <t xml:space="preserve">Date</t>
  </si>
  <si>
    <t xml:space="preserve">[DD-MMM-YYYY]</t>
  </si>
  <si>
    <t xml:space="preserve">How to use this template</t>
  </si>
  <si>
    <t xml:space="preserve">1. Fill in the 'RTM' sheet, one row per entry.</t>
  </si>
  <si>
    <t xml:space="preserve">2. Row 2 is an example in grey italics. Overwrite or delete it.</t>
  </si>
  <si>
    <t xml:space="preserve">3. Columns with a dropdown only accept the listed values.</t>
  </si>
  <si>
    <t xml:space="preserve">4. Keep IDs unique and use the same IDs in Jira for traceability.</t>
  </si>
  <si>
    <t xml:space="preserve">Req ID</t>
  </si>
  <si>
    <t xml:space="preserve">Requirement Description</t>
  </si>
  <si>
    <t xml:space="preserve">Source</t>
  </si>
  <si>
    <t xml:space="preserve">Priority</t>
  </si>
  <si>
    <t xml:space="preserve">Module</t>
  </si>
  <si>
    <t xml:space="preserve">Test Case ID(s)</t>
  </si>
  <si>
    <t xml:space="preserve">Test Status</t>
  </si>
  <si>
    <t xml:space="preserve">Defect ID(s)</t>
  </si>
  <si>
    <t xml:space="preserve">Verified By</t>
  </si>
  <si>
    <t xml:space="preserve">Remarks</t>
  </si>
  <si>
    <t xml:space="preserve">REQ-001</t>
  </si>
  <si>
    <t xml:space="preserve">User can log in with a registered email and password</t>
  </si>
  <si>
    <t xml:space="preserve">BRD v1.2 §3.1</t>
  </si>
  <si>
    <t xml:space="preserve">High</t>
  </si>
  <si>
    <t xml:space="preserve">Authentication</t>
  </si>
  <si>
    <t xml:space="preserve">TC-001, TC-002</t>
  </si>
  <si>
    <t xml:space="preserve">Passed</t>
  </si>
  <si>
    <t xml:space="preserve">ALPHA-1012</t>
  </si>
  <si>
    <t xml:space="preserve">Sneha Iyer</t>
  </si>
  <si>
    <t xml:space="preserve">Covered by regression suite</t>
  </si>
  <si>
    <t xml:space="preserve">Coverage summary</t>
  </si>
  <si>
    <t xml:space="preserve">Total requirements</t>
  </si>
  <si>
    <t xml:space="preserve">Requirements with test cases</t>
  </si>
  <si>
    <t xml:space="preserve">Requirement coverage</t>
  </si>
  <si>
    <t xml:space="preserve">Requirements passed</t>
  </si>
  <si>
    <t xml:space="preserve">Requirements failed</t>
  </si>
  <si>
    <t xml:space="preserve">Requirements blocked</t>
  </si>
  <si>
    <t xml:space="preserve">Counts start from row 3 of the RTM sheet, so the grey example row is excluded.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</si>
</sst>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203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B657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2033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0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B657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5" t="s">
        <v>9</v>
      </c>
    </row>
    <row r="9" customFormat="false" ht="15" hidden="false" customHeight="false" outlineLevel="0" collapsed="false">
      <c r="A9" s="2" t="s">
        <v>10</v>
      </c>
    </row>
    <row r="10" customFormat="false" ht="15" hidden="false" customHeight="false" outlineLevel="0" collapsed="false">
      <c r="A10" s="2" t="s">
        <v>11</v>
      </c>
    </row>
    <row r="11" customFormat="false" ht="15" hidden="false" customHeight="false" outlineLevel="0" collapsed="false">
      <c r="A11" s="2" t="s">
        <v>12</v>
      </c>
    </row>
    <row r="12" customFormat="false" ht="15" hidden="false" customHeight="false" outlineLevel="0" collapsed="false">
      <c r="A12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</row>
    <row r="2" customFormat="false" ht="23.8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</row>
  </sheetData>
  <autoFilter ref="A1:J201"/>
  <dataValidations count="2">
    <dataValidation allowBlank="true" error="Choose one of: Critical, High, Medium, Low" errorStyle="stop" operator="between" showDropDown="false" showErrorMessage="true" showInputMessage="false" sqref="D2:D201" type="list">
      <formula1>"Critical,High,Medium,Low"</formula1>
      <formula2>0</formula2>
    </dataValidation>
    <dataValidation allowBlank="true" error="Choose one of: Not Run, Passed, Failed, Blocked" errorStyle="stop" operator="between" showDropDown="false" showErrorMessage="true" showInputMessage="false" sqref="G2:G201" type="list">
      <formula1>"Not Run,Passed,Failed,Blocked"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9" t="s">
        <v>34</v>
      </c>
    </row>
    <row r="3" customFormat="false" ht="15" hidden="false" customHeight="false" outlineLevel="0" collapsed="false">
      <c r="A3" s="2" t="s">
        <v>35</v>
      </c>
      <c r="B3" s="2" t="n">
        <f aca="false">COUNTA(RTM!A3:A201)</f>
        <v>0</v>
      </c>
    </row>
    <row r="4" customFormat="false" ht="15" hidden="false" customHeight="false" outlineLevel="0" collapsed="false">
      <c r="A4" s="2" t="s">
        <v>36</v>
      </c>
      <c r="B4" s="2" t="n">
        <f aca="false">COUNTIFS(RTM!A3:A201,"&lt;&gt;",RTM!F3:F201,"&lt;&gt;")</f>
        <v>0</v>
      </c>
    </row>
    <row r="5" customFormat="false" ht="15" hidden="false" customHeight="false" outlineLevel="0" collapsed="false">
      <c r="A5" s="2" t="s">
        <v>37</v>
      </c>
      <c r="B5" s="10" t="n">
        <f aca="false">IFERROR(B4/B3,0)</f>
        <v>0</v>
      </c>
    </row>
    <row r="6" customFormat="false" ht="15" hidden="false" customHeight="false" outlineLevel="0" collapsed="false">
      <c r="A6" s="2" t="s">
        <v>38</v>
      </c>
      <c r="B6" s="2" t="n">
        <f aca="false">COUNTIF(RTM!G3:G201,"Passed")</f>
        <v>0</v>
      </c>
    </row>
    <row r="7" customFormat="false" ht="15" hidden="false" customHeight="false" outlineLevel="0" collapsed="false">
      <c r="A7" s="2" t="s">
        <v>39</v>
      </c>
      <c r="B7" s="2" t="n">
        <f aca="false">COUNTIF(RTM!G3:G201,"Failed")</f>
        <v>0</v>
      </c>
    </row>
    <row r="8" customFormat="false" ht="15" hidden="false" customHeight="false" outlineLevel="0" collapsed="false">
      <c r="A8" s="2" t="s">
        <v>40</v>
      </c>
      <c r="B8" s="2" t="n">
        <f aca="false">COUNTIF(RTM!G3:G201,"Blocked")</f>
        <v>0</v>
      </c>
    </row>
    <row r="10" customFormat="false" ht="15" hidden="false" customHeight="false" outlineLevel="0" collapsed="false">
      <c r="A10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2026-10-12T05:31:44Z</dcterms:created>
  <dc:creator>openpyxl</dc:creator>
  <dc:description/>
  <dc:language>en-US</dc:language>
  <cp:lastModifiedBy/>
  <dcterms:modified xsi:type="dcterms:W3CDTF">2026-10-12T05:31:44Z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